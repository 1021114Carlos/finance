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<sst xmlns="http://schemas.openxmlformats.org/spreadsheetml/2006/main" count="44" uniqueCount="40">
  <si>
    <t xml:space="preserve">Question #-2</t>
  </si>
  <si>
    <t xml:space="preserve">dividend payout for current fiscal year</t>
  </si>
  <si>
    <t xml:space="preserve">dividend growth</t>
  </si>
  <si>
    <t xml:space="preserve">DC rate for CS</t>
  </si>
  <si>
    <t xml:space="preserve">outstanding shares</t>
  </si>
  <si>
    <t xml:space="preserve">11.6M</t>
  </si>
  <si>
    <t xml:space="preserve">10.52M</t>
  </si>
  <si>
    <t xml:space="preserve">current stock price</t>
  </si>
  <si>
    <t xml:space="preserve">Dividend per share</t>
  </si>
  <si>
    <t xml:space="preserve">part B</t>
  </si>
  <si>
    <t xml:space="preserve">part C</t>
  </si>
  <si>
    <t xml:space="preserve">Question # 3</t>
  </si>
  <si>
    <t xml:space="preserve">dividend T=1</t>
  </si>
  <si>
    <t xml:space="preserve">g=dividend growth year 2 &amp; 3</t>
  </si>
  <si>
    <t xml:space="preserve">g=dividend growth year 4 and on</t>
  </si>
  <si>
    <t xml:space="preserve">expected return </t>
  </si>
  <si>
    <t xml:space="preserve">stock price today</t>
  </si>
  <si>
    <t xml:space="preserve">time T</t>
  </si>
  <si>
    <t xml:space="preserve">stock at T=4</t>
  </si>
  <si>
    <t xml:space="preserve">stock at T=1</t>
  </si>
  <si>
    <t xml:space="preserve">dividend </t>
  </si>
  <si>
    <t xml:space="preserve">stock at T=0 </t>
  </si>
  <si>
    <t xml:space="preserve">Question #4</t>
  </si>
  <si>
    <t xml:space="preserve">dividend</t>
  </si>
  <si>
    <t xml:space="preserve">EPS</t>
  </si>
  <si>
    <t xml:space="preserve">Plow-back ratio</t>
  </si>
  <si>
    <t xml:space="preserve">BVPS</t>
  </si>
  <si>
    <t xml:space="preserve">discount rate</t>
  </si>
  <si>
    <t xml:space="preserve">T=1 CF</t>
  </si>
  <si>
    <t xml:space="preserve">T=2 CF</t>
  </si>
  <si>
    <t xml:space="preserve">BVPS at T = 1</t>
  </si>
  <si>
    <t xml:space="preserve">EPS at T=2</t>
  </si>
  <si>
    <t xml:space="preserve">Question #5</t>
  </si>
  <si>
    <t xml:space="preserve">T</t>
  </si>
  <si>
    <t xml:space="preserve">equity financed</t>
  </si>
  <si>
    <t xml:space="preserve">cost of capital</t>
  </si>
  <si>
    <t xml:space="preserve">payout ratio</t>
  </si>
  <si>
    <t xml:space="preserve">DPS at T=1</t>
  </si>
  <si>
    <t xml:space="preserve">DPS AT T=2</t>
  </si>
  <si>
    <t xml:space="preserve">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</si>
</sst>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[$$]#,##0.00;[RED]\-[$$]#,##0.00"/>
    <numFmt numFmtId="166" formatCode="0.00%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333333"/>
      <name val="Arial"/>
      <family val="2"/>
      <charset val="1"/>
    </font>
    <font>
      <sz val="10"/>
      <color rgb="FFFFD8CE"/>
      <name val="Arial"/>
      <family val="2"/>
      <charset val="1"/>
    </font>
    <font>
      <sz val="10"/>
      <color rgb="FF111111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81D41A"/>
        <bgColor rgb="FFBBE33D"/>
      </patternFill>
    </fill>
    <fill>
      <patternFill patternType="solid">
        <fgColor rgb="FFFFD7D7"/>
        <bgColor rgb="FFFFD8CE"/>
      </patternFill>
    </fill>
    <fill>
      <patternFill patternType="solid">
        <fgColor rgb="FFDDDDDD"/>
        <bgColor rgb="FFFFD7D7"/>
      </patternFill>
    </fill>
    <fill>
      <patternFill patternType="solid">
        <fgColor rgb="FFFFA6A6"/>
        <bgColor rgb="FFFF8080"/>
      </patternFill>
    </fill>
    <fill>
      <patternFill patternType="solid">
        <fgColor rgb="FFFF3838"/>
        <bgColor rgb="FFC9211E"/>
      </patternFill>
    </fill>
    <fill>
      <patternFill patternType="solid">
        <fgColor rgb="FFFF0000"/>
        <bgColor rgb="FFC9211E"/>
      </patternFill>
    </fill>
    <fill>
      <patternFill patternType="solid">
        <fgColor rgb="FFFFFF00"/>
        <bgColor rgb="FFE6E905"/>
      </patternFill>
    </fill>
    <fill>
      <patternFill patternType="solid">
        <fgColor rgb="FF3465A4"/>
        <bgColor rgb="FF3366FF"/>
      </patternFill>
    </fill>
    <fill>
      <patternFill patternType="solid">
        <fgColor rgb="FF069A2E"/>
        <bgColor rgb="FF339966"/>
      </patternFill>
    </fill>
    <fill>
      <patternFill patternType="solid">
        <fgColor rgb="FFE6E905"/>
        <bgColor rgb="FFFFFF00"/>
      </patternFill>
    </fill>
    <fill>
      <patternFill patternType="solid">
        <fgColor rgb="FFC9211E"/>
        <bgColor rgb="FFFF3838"/>
      </patternFill>
    </fill>
    <fill>
      <patternFill patternType="solid">
        <fgColor rgb="FFBBE33D"/>
        <bgColor rgb="FFE6E90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D7D7"/>
      <rgbColor rgb="FFCCFFFF"/>
      <rgbColor rgb="FF660066"/>
      <rgbColor rgb="FFFF8080"/>
      <rgbColor rgb="FF0066CC"/>
      <rgbColor rgb="FFDDDDDD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D8CE"/>
      <rgbColor rgb="FF3366FF"/>
      <rgbColor rgb="FF33CCCC"/>
      <rgbColor rgb="FF81D41A"/>
      <rgbColor rgb="FFBBE33D"/>
      <rgbColor rgb="FFFF9900"/>
      <rgbColor rgb="FFFF3838"/>
      <rgbColor rgb="FF3465A4"/>
      <rgbColor rgb="FF969696"/>
      <rgbColor rgb="FF003366"/>
      <rgbColor rgb="FF339966"/>
      <rgbColor rgb="FF111111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83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B84" activeCellId="0" sqref="B84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5.69"/>
  </cols>
  <sheetData>
    <row r="1" customFormat="false" ht="12.8" hidden="false" customHeight="false" outlineLevel="0" collapsed="false">
      <c r="A1" s="1"/>
      <c r="B1" s="1"/>
      <c r="C1" s="1"/>
      <c r="D1" s="1"/>
      <c r="E1" s="1"/>
      <c r="F1" s="1"/>
      <c r="G1" s="1" t="s">
        <v>0</v>
      </c>
    </row>
    <row r="3" customFormat="false" ht="12.8" hidden="false" customHeight="false" outlineLevel="0" collapsed="false">
      <c r="A3" s="2" t="s">
        <v>1</v>
      </c>
      <c r="B3" s="2"/>
      <c r="C3" s="2"/>
      <c r="D3" s="3" t="s">
        <v>2</v>
      </c>
      <c r="E3" s="3"/>
      <c r="F3" s="4" t="s">
        <v>3</v>
      </c>
      <c r="G3" s="5"/>
      <c r="H3" s="3" t="s">
        <v>4</v>
      </c>
      <c r="I3" s="3"/>
    </row>
    <row r="4" customFormat="false" ht="12.8" hidden="false" customHeight="false" outlineLevel="0" collapsed="false">
      <c r="A4" s="6" t="s">
        <v>5</v>
      </c>
      <c r="D4" s="6" t="n">
        <v>0.0583</v>
      </c>
      <c r="F4" s="6" t="n">
        <v>0.1096</v>
      </c>
      <c r="H4" s="6" t="s">
        <v>6</v>
      </c>
      <c r="I4" s="6"/>
    </row>
    <row r="6" customFormat="false" ht="12.8" hidden="false" customHeight="false" outlineLevel="0" collapsed="false">
      <c r="A6" s="7" t="s">
        <v>7</v>
      </c>
      <c r="B6" s="7"/>
      <c r="D6" s="6" t="s">
        <v>8</v>
      </c>
    </row>
    <row r="7" customFormat="false" ht="12.8" hidden="false" customHeight="false" outlineLevel="0" collapsed="false">
      <c r="A7" s="6" t="n">
        <f aca="false">D7/(F4-D4)</f>
        <v>21.4943781083466</v>
      </c>
      <c r="D7" s="6" t="n">
        <f aca="false">11600000/10520000</f>
        <v>1.10266159695818</v>
      </c>
    </row>
    <row r="8" customFormat="false" ht="12.8" hidden="false" customHeight="false" outlineLevel="0" collapsed="false">
      <c r="F8" s="1"/>
    </row>
    <row r="9" customFormat="false" ht="12.8" hidden="false" customHeight="false" outlineLevel="0" collapsed="false">
      <c r="A9" s="1" t="s">
        <v>9</v>
      </c>
      <c r="B9" s="1"/>
      <c r="C9" s="1"/>
      <c r="D9" s="1"/>
      <c r="E9" s="1"/>
      <c r="F9" s="6" t="n">
        <v>0.1596</v>
      </c>
      <c r="G9" s="1"/>
    </row>
    <row r="12" customFormat="false" ht="12.8" hidden="false" customHeight="false" outlineLevel="0" collapsed="false">
      <c r="A12" s="8" t="s">
        <v>7</v>
      </c>
      <c r="B12" s="8"/>
    </row>
    <row r="13" customFormat="false" ht="12.8" hidden="false" customHeight="false" outlineLevel="0" collapsed="false">
      <c r="A13" s="6" t="n">
        <f aca="false">D7/(F9-D4)</f>
        <v>10.8851095454904</v>
      </c>
    </row>
    <row r="14" customFormat="false" ht="12.8" hidden="false" customHeight="false" outlineLevel="0" collapsed="false">
      <c r="F14" s="1"/>
    </row>
    <row r="15" customFormat="false" ht="12.8" hidden="false" customHeight="false" outlineLevel="0" collapsed="false">
      <c r="A15" s="1" t="s">
        <v>10</v>
      </c>
      <c r="B15" s="1"/>
      <c r="C15" s="1"/>
      <c r="D15" s="1"/>
      <c r="E15" s="1"/>
      <c r="F15" s="1"/>
      <c r="G15" s="1"/>
    </row>
    <row r="16" customFormat="false" ht="12.8" hidden="false" customHeight="false" outlineLevel="0" collapsed="false">
      <c r="D16" s="6" t="n">
        <v>0.0923</v>
      </c>
    </row>
    <row r="18" customFormat="false" ht="12.8" hidden="false" customHeight="false" outlineLevel="0" collapsed="false">
      <c r="A18" s="8" t="s">
        <v>7</v>
      </c>
      <c r="B18" s="8"/>
    </row>
    <row r="19" customFormat="false" ht="12.8" hidden="false" customHeight="false" outlineLevel="0" collapsed="false">
      <c r="A19" s="6" t="n">
        <f aca="false">D7/(F4-D16)</f>
        <v>63.7376645640567</v>
      </c>
    </row>
    <row r="22" customFormat="false" ht="12.8" hidden="false" customHeight="false" outlineLevel="0" collapsed="false">
      <c r="A22" s="9"/>
      <c r="B22" s="9"/>
      <c r="C22" s="9"/>
      <c r="D22" s="9"/>
      <c r="E22" s="9"/>
      <c r="F22" s="9"/>
      <c r="G22" s="9" t="s">
        <v>11</v>
      </c>
    </row>
    <row r="23" customFormat="false" ht="12.8" hidden="false" customHeight="false" outlineLevel="0" collapsed="false">
      <c r="A23" s="7" t="s">
        <v>12</v>
      </c>
      <c r="B23" s="7"/>
      <c r="D23" s="7" t="s">
        <v>13</v>
      </c>
      <c r="E23" s="7"/>
      <c r="F23" s="7"/>
      <c r="G23" s="10" t="s">
        <v>14</v>
      </c>
      <c r="H23" s="10"/>
      <c r="I23" s="10"/>
      <c r="K23" s="7" t="s">
        <v>15</v>
      </c>
      <c r="L23" s="7"/>
    </row>
    <row r="24" customFormat="false" ht="12.8" hidden="false" customHeight="false" outlineLevel="0" collapsed="false">
      <c r="A24" s="0" t="n">
        <v>9.55</v>
      </c>
      <c r="D24" s="0" t="n">
        <v>0.1503</v>
      </c>
      <c r="G24" s="0" t="n">
        <v>0.0929</v>
      </c>
      <c r="K24" s="0" t="n">
        <v>0.1854</v>
      </c>
    </row>
    <row r="27" customFormat="false" ht="12.8" hidden="false" customHeight="false" outlineLevel="0" collapsed="false">
      <c r="A27" s="11" t="s">
        <v>16</v>
      </c>
      <c r="B27" s="11"/>
    </row>
    <row r="29" customFormat="false" ht="12.8" hidden="false" customHeight="false" outlineLevel="0" collapsed="false">
      <c r="A29" s="11" t="s">
        <v>17</v>
      </c>
      <c r="B29" s="12" t="n">
        <v>0</v>
      </c>
      <c r="C29" s="12" t="n">
        <v>1</v>
      </c>
      <c r="D29" s="12" t="n">
        <v>2</v>
      </c>
      <c r="E29" s="12" t="n">
        <v>3</v>
      </c>
      <c r="F29" s="12" t="n">
        <v>4</v>
      </c>
      <c r="H29" s="13" t="s">
        <v>18</v>
      </c>
      <c r="J29" s="14" t="s">
        <v>19</v>
      </c>
    </row>
    <row r="30" customFormat="false" ht="12.8" hidden="false" customHeight="false" outlineLevel="0" collapsed="false">
      <c r="A30" s="11" t="s">
        <v>20</v>
      </c>
      <c r="B30" s="12"/>
      <c r="C30" s="12" t="n">
        <v>9.55</v>
      </c>
      <c r="D30" s="12" t="n">
        <f aca="false">C30*(1+D24)</f>
        <v>10.985365</v>
      </c>
      <c r="E30" s="12" t="n">
        <f aca="false">D30*(1+D24)</f>
        <v>12.6364653595</v>
      </c>
      <c r="F30" s="12" t="n">
        <f aca="false">E30*(1+G24)</f>
        <v>13.8103929913976</v>
      </c>
      <c r="H30" s="0" t="n">
        <f aca="false">F30/(K24-G24)</f>
        <v>149.301545852947</v>
      </c>
      <c r="J30" s="0" t="n">
        <f aca="false">(E30+H30)/(1+K24)</f>
        <v>136.610436318919</v>
      </c>
    </row>
    <row r="32" customFormat="false" ht="12.8" hidden="false" customHeight="false" outlineLevel="0" collapsed="false">
      <c r="H32" s="13" t="s">
        <v>21</v>
      </c>
    </row>
    <row r="33" customFormat="false" ht="12.8" hidden="false" customHeight="false" outlineLevel="0" collapsed="false">
      <c r="H33" s="0" t="n">
        <f aca="false">C30/(1+K24)+D30/(1+K24)^2+E30/(1+K24)^3+H30/(1+K24)^3</f>
        <v>113.093799285861</v>
      </c>
    </row>
    <row r="43" customFormat="false" ht="12.8" hidden="false" customHeight="false" outlineLevel="0" collapsed="false">
      <c r="A43" s="15"/>
      <c r="B43" s="15"/>
      <c r="C43" s="15"/>
      <c r="D43" s="15"/>
      <c r="E43" s="15"/>
      <c r="F43" s="15"/>
      <c r="G43" s="16"/>
      <c r="H43" s="15" t="s">
        <v>22</v>
      </c>
    </row>
    <row r="45" customFormat="false" ht="12.8" hidden="false" customHeight="false" outlineLevel="0" collapsed="false">
      <c r="A45" s="17" t="s">
        <v>17</v>
      </c>
      <c r="B45" s="17" t="n">
        <v>0</v>
      </c>
      <c r="C45" s="17" t="n">
        <v>1</v>
      </c>
      <c r="D45" s="17" t="n">
        <v>2</v>
      </c>
      <c r="E45" s="17" t="n">
        <v>3</v>
      </c>
      <c r="H45" s="0" t="s">
        <v>23</v>
      </c>
    </row>
    <row r="46" customFormat="false" ht="12.8" hidden="false" customHeight="false" outlineLevel="0" collapsed="false">
      <c r="A46" s="18" t="s">
        <v>24</v>
      </c>
      <c r="B46" s="18"/>
      <c r="C46" s="18" t="n">
        <v>26.5</v>
      </c>
      <c r="D46" s="18"/>
      <c r="E46" s="18"/>
    </row>
    <row r="47" customFormat="false" ht="12.8" hidden="false" customHeight="false" outlineLevel="0" collapsed="false">
      <c r="A47" s="18" t="s">
        <v>25</v>
      </c>
      <c r="B47" s="18"/>
      <c r="C47" s="18" t="n">
        <v>0.87</v>
      </c>
      <c r="D47" s="18" t="n">
        <v>0.58</v>
      </c>
      <c r="E47" s="18" t="n">
        <v>0</v>
      </c>
    </row>
    <row r="48" customFormat="false" ht="12.8" hidden="false" customHeight="false" outlineLevel="0" collapsed="false">
      <c r="A48" s="18" t="s">
        <v>26</v>
      </c>
      <c r="B48" s="19" t="n">
        <v>100</v>
      </c>
      <c r="C48" s="18"/>
      <c r="D48" s="18"/>
      <c r="E48" s="18"/>
    </row>
    <row r="49" customFormat="false" ht="12.8" hidden="false" customHeight="false" outlineLevel="0" collapsed="false">
      <c r="A49" s="0" t="s">
        <v>27</v>
      </c>
      <c r="B49" s="20" t="n">
        <v>12.9</v>
      </c>
    </row>
    <row r="50" customFormat="false" ht="12.8" hidden="false" customHeight="false" outlineLevel="0" collapsed="false">
      <c r="A50" s="0" t="s">
        <v>28</v>
      </c>
      <c r="B50" s="21" t="n">
        <v>0.2</v>
      </c>
    </row>
    <row r="51" customFormat="false" ht="12.8" hidden="false" customHeight="false" outlineLevel="0" collapsed="false">
      <c r="A51" s="0" t="s">
        <v>29</v>
      </c>
      <c r="B51" s="21" t="n">
        <v>0.15</v>
      </c>
    </row>
    <row r="52" customFormat="false" ht="12.8" hidden="false" customHeight="false" outlineLevel="0" collapsed="false">
      <c r="A52" s="8" t="s">
        <v>30</v>
      </c>
      <c r="B52" s="21" t="n">
        <f aca="false">B48+(C46*C47)</f>
        <v>123.055</v>
      </c>
    </row>
    <row r="53" customFormat="false" ht="12.8" hidden="false" customHeight="false" outlineLevel="0" collapsed="false">
      <c r="A53" s="0" t="s">
        <v>31</v>
      </c>
      <c r="B53" s="21" t="n">
        <f aca="false">(B52-B48)/D47</f>
        <v>39.75</v>
      </c>
    </row>
    <row r="63" customFormat="false" ht="12.8" hidden="false" customHeight="false" outlineLevel="0" collapsed="false">
      <c r="A63" s="15"/>
      <c r="B63" s="15"/>
      <c r="C63" s="15"/>
      <c r="D63" s="15"/>
      <c r="E63" s="15"/>
      <c r="F63" s="15"/>
      <c r="G63" s="15"/>
      <c r="H63" s="15" t="s">
        <v>32</v>
      </c>
      <c r="I63" s="15"/>
      <c r="J63" s="15"/>
      <c r="K63" s="15"/>
    </row>
    <row r="64" customFormat="false" ht="12.8" hidden="false" customHeight="false" outlineLevel="0" collapsed="false">
      <c r="A64" s="0" t="s">
        <v>33</v>
      </c>
      <c r="B64" s="0" t="n">
        <v>0</v>
      </c>
      <c r="C64" s="0" t="n">
        <v>1</v>
      </c>
    </row>
    <row r="65" customFormat="false" ht="12.8" hidden="false" customHeight="false" outlineLevel="0" collapsed="false">
      <c r="A65" s="0" t="s">
        <v>34</v>
      </c>
      <c r="B65" s="22" t="n">
        <v>1</v>
      </c>
    </row>
    <row r="66" customFormat="false" ht="12.8" hidden="false" customHeight="false" outlineLevel="0" collapsed="false">
      <c r="A66" s="0" t="s">
        <v>35</v>
      </c>
      <c r="B66" s="22" t="n">
        <v>0.114</v>
      </c>
    </row>
    <row r="67" customFormat="false" ht="12.8" hidden="false" customHeight="false" outlineLevel="0" collapsed="false">
      <c r="A67" s="0" t="s">
        <v>36</v>
      </c>
      <c r="B67" s="22" t="n">
        <v>0.75</v>
      </c>
    </row>
    <row r="68" customFormat="false" ht="12.8" hidden="false" customHeight="false" outlineLevel="0" collapsed="false">
      <c r="A68" s="0" t="s">
        <v>24</v>
      </c>
      <c r="C68" s="0" t="n">
        <v>5.7</v>
      </c>
    </row>
    <row r="71" customFormat="false" ht="12.8" hidden="false" customHeight="false" outlineLevel="0" collapsed="false">
      <c r="A71" s="0" t="s">
        <v>37</v>
      </c>
      <c r="B71" s="0" t="n">
        <f aca="false">C68*B67</f>
        <v>4.275</v>
      </c>
    </row>
    <row r="72" customFormat="false" ht="12.8" hidden="false" customHeight="false" outlineLevel="0" collapsed="false">
      <c r="A72" s="0" t="s">
        <v>38</v>
      </c>
      <c r="B72" s="0" t="n">
        <f aca="false">B71*B67</f>
        <v>3.20625</v>
      </c>
    </row>
    <row r="83" customFormat="false" ht="12.8" hidden="false" customHeight="false" outlineLevel="0" collapsed="false">
      <c r="A83" s="0" t="s">
        <v>39</v>
      </c>
      <c r="B83" s="0" t="n">
        <f aca="false">(87-(2/(0.1-0.03))-(0.05))*2</f>
        <v>116.757142857143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209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2020-11-09T09:13:53Z</dcterms:created>
  <dc:creator/>
  <dc:description/>
  <dc:language>en-US</dc:language>
  <cp:lastModifiedBy/>
  <dcterms:modified xsi:type="dcterms:W3CDTF">2020-11-11T07:50:09Z</dcterms:modified>
  <cp:revision>6</cp:revision>
  <dc:subject/>
  <dc:title/>
</cp:coreProperties>
</file>