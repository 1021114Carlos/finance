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<sst xmlns="http://schemas.openxmlformats.org/spreadsheetml/2006/main" count="89" uniqueCount="60">
  <si>
    <t xml:space="preserve">BONDS</t>
  </si>
  <si>
    <t xml:space="preserve">current price</t>
  </si>
  <si>
    <t xml:space="preserve">principal</t>
  </si>
  <si>
    <t xml:space="preserve">coupon bond</t>
  </si>
  <si>
    <t xml:space="preserve">maturity</t>
  </si>
  <si>
    <t xml:space="preserve">Bond – A</t>
  </si>
  <si>
    <t xml:space="preserve">1-year</t>
  </si>
  <si>
    <t xml:space="preserve">Bond – B</t>
  </si>
  <si>
    <t xml:space="preserve">2-year</t>
  </si>
  <si>
    <t xml:space="preserve">BOND-A R(1)</t>
  </si>
  <si>
    <t xml:space="preserve">BOND-B R(2)</t>
  </si>
  <si>
    <t xml:space="preserve">Question #2</t>
  </si>
  <si>
    <t xml:space="preserve">Bonds</t>
  </si>
  <si>
    <t xml:space="preserve">Face Value</t>
  </si>
  <si>
    <t xml:space="preserve">Maturity</t>
  </si>
  <si>
    <t xml:space="preserve">coupon rate</t>
  </si>
  <si>
    <t xml:space="preserve">Price</t>
  </si>
  <si>
    <t xml:space="preserve">STRIPs</t>
  </si>
  <si>
    <t xml:space="preserve">T-notes</t>
  </si>
  <si>
    <t xml:space="preserve">3-year</t>
  </si>
  <si>
    <t xml:space="preserve">Another Bond</t>
  </si>
  <si>
    <t xml:space="preserve">Calculations to find R’s</t>
  </si>
  <si>
    <t xml:space="preserve">STRIPs (1-yr)</t>
  </si>
  <si>
    <t xml:space="preserve">T-notes (2-yr)</t>
  </si>
  <si>
    <t xml:space="preserve">T-notes (3-yr)</t>
  </si>
  <si>
    <t xml:space="preserve">anther bond</t>
  </si>
  <si>
    <t xml:space="preserve">payoffs</t>
  </si>
  <si>
    <t xml:space="preserve">cash flow 0</t>
  </si>
  <si>
    <t xml:space="preserve">cash flow 1</t>
  </si>
  <si>
    <t xml:space="preserve">cash flow 2</t>
  </si>
  <si>
    <t xml:space="preserve">cash flow 3</t>
  </si>
  <si>
    <t xml:space="preserve">Question #3</t>
  </si>
  <si>
    <t xml:space="preserve">principla</t>
  </si>
  <si>
    <t xml:space="preserve">YTM</t>
  </si>
  <si>
    <t xml:space="preserve">bond 3-year</t>
  </si>
  <si>
    <t xml:space="preserve">Bond Price</t>
  </si>
  <si>
    <t xml:space="preserve">Question #4</t>
  </si>
  <si>
    <t xml:space="preserve">spot interest rates</t>
  </si>
  <si>
    <t xml:space="preserve">periods</t>
  </si>
  <si>
    <t xml:space="preserve">bond 2-year</t>
  </si>
  <si>
    <t xml:space="preserve">bond price</t>
  </si>
  <si>
    <t xml:space="preserve">Question #6</t>
  </si>
  <si>
    <t xml:space="preserve">cash flow from the bond</t>
  </si>
  <si>
    <t xml:space="preserve">years</t>
  </si>
  <si>
    <t xml:space="preserve">cash flow</t>
  </si>
  <si>
    <t xml:space="preserve">pv</t>
  </si>
  <si>
    <t xml:space="preserve">pv*t</t>
  </si>
  <si>
    <t xml:space="preserve">face value</t>
  </si>
  <si>
    <t xml:space="preserve">coupon</t>
  </si>
  <si>
    <t xml:space="preserve">price</t>
  </si>
  <si>
    <t xml:space="preserve">macauley duration</t>
  </si>
  <si>
    <t xml:space="preserve">modified duration</t>
  </si>
  <si>
    <t xml:space="preserve">Question #9</t>
  </si>
  <si>
    <t xml:space="preserve">PV</t>
  </si>
  <si>
    <t xml:space="preserve">pv*t(t+1)</t>
  </si>
  <si>
    <t xml:space="preserve">cf</t>
  </si>
  <si>
    <t xml:space="preserve">macaulay duration</t>
  </si>
  <si>
    <t xml:space="preserve">convexity</t>
  </si>
  <si>
    <t xml:space="preserve">new ytm</t>
  </si>
  <si>
    <t xml:space="preserve">new bond price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</si>
</sst>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%"/>
    <numFmt numFmtId="167" formatCode="[$-409]General"/>
    <numFmt numFmtId="168" formatCode="[$$-409]#,##0.00;[RED]\-[$$-409]#,##0.00"/>
    <numFmt numFmtId="169" formatCode="[$$-409]#,##0.00;\-[$$-409]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111111"/>
      <name val="Arial"/>
      <family val="2"/>
      <charset val="1"/>
    </font>
    <font>
      <sz val="10"/>
      <color rgb="FFB2B2B2"/>
      <name val="Arial"/>
      <family val="2"/>
      <charset val="1"/>
    </font>
    <font>
      <sz val="10"/>
      <color rgb="FFFF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3838"/>
      </patternFill>
    </fill>
    <fill>
      <patternFill patternType="solid">
        <fgColor rgb="FF666666"/>
        <bgColor rgb="FF808080"/>
      </patternFill>
    </fill>
    <fill>
      <patternFill patternType="solid">
        <fgColor rgb="FFFFFFFF"/>
        <bgColor rgb="FFFFF5CE"/>
      </patternFill>
    </fill>
    <fill>
      <patternFill patternType="solid">
        <fgColor rgb="FFD62E4E"/>
        <bgColor rgb="FFFF3838"/>
      </patternFill>
    </fill>
    <fill>
      <patternFill patternType="solid">
        <fgColor rgb="FF650953"/>
        <bgColor rgb="FF800080"/>
      </patternFill>
    </fill>
    <fill>
      <patternFill patternType="solid">
        <fgColor rgb="FFFF3838"/>
        <bgColor rgb="FFD62E4E"/>
      </patternFill>
    </fill>
    <fill>
      <patternFill patternType="solid">
        <fgColor rgb="FFFF7B59"/>
        <bgColor rgb="FFFF9900"/>
      </patternFill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D62E4E"/>
      <rgbColor rgb="FFFFF5CE"/>
      <rgbColor rgb="FFCCFFFF"/>
      <rgbColor rgb="FF650953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F98" activeCellId="0" sqref="F98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</row>
    <row r="2" customFormat="false" ht="12.8" hidden="false" customHeight="false" outlineLevel="0" collapsed="false">
      <c r="A2" s="1" t="s">
        <v>5</v>
      </c>
      <c r="B2" s="2" t="n">
        <v>96.91</v>
      </c>
      <c r="C2" s="2" t="n">
        <v>100</v>
      </c>
      <c r="D2" s="2" t="n">
        <v>0</v>
      </c>
      <c r="E2" s="2" t="s">
        <v>6</v>
      </c>
      <c r="G2" s="2"/>
    </row>
    <row r="3" customFormat="false" ht="12.8" hidden="false" customHeight="false" outlineLevel="0" collapsed="false">
      <c r="A3" s="1" t="s">
        <v>7</v>
      </c>
      <c r="B3" s="2" t="n">
        <v>100.1</v>
      </c>
      <c r="C3" s="2" t="n">
        <v>100</v>
      </c>
      <c r="D3" s="2" t="n">
        <v>4.25</v>
      </c>
      <c r="E3" s="2" t="s">
        <v>8</v>
      </c>
      <c r="G3" s="2" t="n">
        <f aca="false">C3*0.0425</f>
        <v>4.25</v>
      </c>
    </row>
    <row r="5" customFormat="false" ht="12.8" hidden="false" customHeight="false" outlineLevel="0" collapsed="false">
      <c r="A5" s="2" t="s">
        <v>9</v>
      </c>
      <c r="B5" s="2" t="n">
        <f aca="false">C2/B2-1</f>
        <v>0.0318852543597152</v>
      </c>
    </row>
    <row r="6" customFormat="false" ht="12.8" hidden="false" customHeight="false" outlineLevel="0" collapsed="false">
      <c r="A6" s="2" t="s">
        <v>10</v>
      </c>
      <c r="B6" s="3" t="n">
        <f aca="false">SQRT((G3+C3)/(B3-(G3/(1+B5))))-1</f>
        <v>0.0421846237024328</v>
      </c>
    </row>
    <row r="7" customFormat="false" ht="12.8" hidden="false" customHeight="false" outlineLevel="0" collapsed="false">
      <c r="B7" s="3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5" t="s">
        <v>11</v>
      </c>
      <c r="H9" s="4"/>
      <c r="I9" s="4"/>
    </row>
    <row r="11" customFormat="false" ht="12.8" hidden="false" customHeight="false" outlineLevel="0" collapsed="false">
      <c r="A11" s="6" t="s">
        <v>12</v>
      </c>
      <c r="B11" s="6" t="s">
        <v>13</v>
      </c>
      <c r="C11" s="7" t="s">
        <v>14</v>
      </c>
      <c r="D11" s="8" t="s">
        <v>15</v>
      </c>
      <c r="E11" s="8" t="s">
        <v>16</v>
      </c>
      <c r="F11" s="9"/>
    </row>
    <row r="12" customFormat="false" ht="12.8" hidden="false" customHeight="false" outlineLevel="0" collapsed="false">
      <c r="A12" s="2" t="s">
        <v>17</v>
      </c>
      <c r="B12" s="2" t="n">
        <v>100</v>
      </c>
      <c r="C12" s="2" t="s">
        <v>6</v>
      </c>
      <c r="D12" s="10" t="n">
        <v>0</v>
      </c>
      <c r="E12" s="11" t="n">
        <v>96.67</v>
      </c>
    </row>
    <row r="13" customFormat="false" ht="12.8" hidden="false" customHeight="false" outlineLevel="0" collapsed="false">
      <c r="A13" s="2" t="s">
        <v>18</v>
      </c>
      <c r="B13" s="12" t="n">
        <v>100</v>
      </c>
      <c r="C13" s="2" t="s">
        <v>8</v>
      </c>
      <c r="D13" s="10" t="n">
        <v>0.0239</v>
      </c>
      <c r="E13" s="11" t="n">
        <v>98.98</v>
      </c>
      <c r="G13" s="2" t="n">
        <f aca="false">B13*D13</f>
        <v>2.39</v>
      </c>
    </row>
    <row r="14" customFormat="false" ht="12.8" hidden="false" customHeight="false" outlineLevel="0" collapsed="false">
      <c r="A14" s="2" t="s">
        <v>18</v>
      </c>
      <c r="B14" s="12" t="n">
        <v>100</v>
      </c>
      <c r="C14" s="2" t="s">
        <v>19</v>
      </c>
      <c r="D14" s="10" t="n">
        <v>0.0339</v>
      </c>
      <c r="E14" s="11" t="n">
        <v>104.84</v>
      </c>
      <c r="G14" s="2" t="n">
        <f aca="false">B14*D14</f>
        <v>3.39</v>
      </c>
    </row>
    <row r="16" customFormat="false" ht="12.8" hidden="false" customHeight="false" outlineLevel="0" collapsed="false">
      <c r="A16" s="13" t="s">
        <v>20</v>
      </c>
    </row>
    <row r="17" customFormat="false" ht="12.8" hidden="false" customHeight="false" outlineLevel="0" collapsed="false">
      <c r="A17" s="2" t="s">
        <v>17</v>
      </c>
      <c r="B17" s="14" t="n">
        <v>100</v>
      </c>
      <c r="C17" s="2" t="s">
        <v>19</v>
      </c>
      <c r="D17" s="2" t="n">
        <v>0</v>
      </c>
      <c r="E17" s="14" t="n">
        <v>94.23</v>
      </c>
    </row>
    <row r="19" customFormat="false" ht="12.8" hidden="false" customHeight="false" outlineLevel="0" collapsed="false">
      <c r="A19" s="15"/>
      <c r="B19" s="16" t="s">
        <v>21</v>
      </c>
      <c r="C19" s="15"/>
      <c r="D19" s="15"/>
      <c r="E19" s="15"/>
    </row>
    <row r="20" customFormat="false" ht="12.8" hidden="false" customHeight="false" outlineLevel="0" collapsed="false">
      <c r="A20" s="2" t="s">
        <v>17</v>
      </c>
      <c r="B20" s="2" t="n">
        <f aca="false">B12/E12-1</f>
        <v>0.0344470880314471</v>
      </c>
    </row>
    <row r="21" customFormat="false" ht="12.8" hidden="false" customHeight="false" outlineLevel="0" collapsed="false">
      <c r="A21" s="2" t="s">
        <v>18</v>
      </c>
      <c r="B21" s="2" t="n">
        <f aca="false">SQRT((G13+B13)/(E13-(G13/(1+B20))))-1</f>
        <v>0.0291622313866786</v>
      </c>
    </row>
    <row r="22" customFormat="false" ht="12.8" hidden="false" customHeight="false" outlineLevel="0" collapsed="false">
      <c r="A22" s="2" t="s">
        <v>18</v>
      </c>
      <c r="B22" s="2" t="n">
        <f aca="false">SQRT((G14+B14)/(E14-(((G14/(1+B20))+(G14/(1+B21)))))-1)^3</f>
        <v>0.0118963745451254</v>
      </c>
    </row>
    <row r="24" customFormat="false" ht="12.8" hidden="false" customHeight="false" outlineLevel="0" collapsed="false">
      <c r="B24" s="2" t="s">
        <v>22</v>
      </c>
      <c r="C24" s="2" t="s">
        <v>23</v>
      </c>
      <c r="D24" s="2" t="s">
        <v>24</v>
      </c>
      <c r="E24" s="2" t="s">
        <v>25</v>
      </c>
      <c r="G24" s="2" t="s">
        <v>26</v>
      </c>
    </row>
    <row r="25" customFormat="false" ht="12.8" hidden="false" customHeight="false" outlineLevel="0" collapsed="false">
      <c r="A25" s="2" t="s">
        <v>27</v>
      </c>
      <c r="B25" s="2" t="n">
        <v>96.67</v>
      </c>
      <c r="C25" s="2" t="n">
        <v>98.98</v>
      </c>
      <c r="D25" s="2" t="n">
        <v>104.84</v>
      </c>
      <c r="E25" s="2" t="n">
        <v>94.23</v>
      </c>
      <c r="G25" s="2" t="n">
        <v>100</v>
      </c>
    </row>
    <row r="26" customFormat="false" ht="12.8" hidden="false" customHeight="false" outlineLevel="0" collapsed="false">
      <c r="A26" s="2" t="s">
        <v>28</v>
      </c>
      <c r="B26" s="2" t="n">
        <v>100</v>
      </c>
      <c r="C26" s="2" t="n">
        <v>2.39</v>
      </c>
      <c r="D26" s="2" t="n">
        <v>3.39</v>
      </c>
      <c r="E26" s="2" t="n">
        <v>0</v>
      </c>
      <c r="G26" s="2" t="n">
        <v>0</v>
      </c>
    </row>
    <row r="27" customFormat="false" ht="12.8" hidden="false" customHeight="false" outlineLevel="0" collapsed="false">
      <c r="A27" s="2" t="s">
        <v>29</v>
      </c>
      <c r="B27" s="2" t="n">
        <v>0</v>
      </c>
      <c r="C27" s="2" t="n">
        <v>102.39</v>
      </c>
      <c r="D27" s="2" t="n">
        <v>3.39</v>
      </c>
      <c r="E27" s="2" t="n">
        <v>0</v>
      </c>
      <c r="G27" s="2" t="n">
        <v>0</v>
      </c>
    </row>
    <row r="28" customFormat="false" ht="12.8" hidden="false" customHeight="false" outlineLevel="0" collapsed="false">
      <c r="A28" s="2" t="s">
        <v>30</v>
      </c>
      <c r="B28" s="2" t="n">
        <v>0</v>
      </c>
      <c r="C28" s="2" t="n">
        <v>0</v>
      </c>
      <c r="D28" s="2" t="n">
        <v>103.39</v>
      </c>
      <c r="E28" s="2" t="n">
        <v>100</v>
      </c>
      <c r="G28" s="2" t="n">
        <v>0</v>
      </c>
    </row>
    <row r="31" customFormat="false" ht="12.8" hidden="false" customHeight="false" outlineLevel="0" collapsed="false">
      <c r="B31" s="12" t="n">
        <f aca="false" t="array" ref="B31:E34">MINVERSE(B25:E28)</f>
        <v>-0.0353014347763025</v>
      </c>
      <c r="C31" s="17" t="n">
        <v>0.0441258969982516</v>
      </c>
      <c r="D31" s="2" t="n">
        <v>0.0330957624800527</v>
      </c>
      <c r="E31" s="2" t="n">
        <v>0.0332645419897098</v>
      </c>
      <c r="G31" s="2" t="n">
        <f aca="false" t="array" ref="G31:G34">MMULT(B31:E34,G25:G28)</f>
        <v>-3.53014347763025</v>
      </c>
    </row>
    <row r="32" customFormat="false" ht="12.8" hidden="false" customHeight="false" outlineLevel="0" collapsed="false">
      <c r="B32" s="2" t="n">
        <v>-0.0353014347763025</v>
      </c>
      <c r="C32" s="2" t="n">
        <v>0.0341258969982516</v>
      </c>
      <c r="D32" s="2" t="n">
        <v>0.0430957624800527</v>
      </c>
      <c r="E32" s="2" t="n">
        <v>0.0332645419897098</v>
      </c>
      <c r="G32" s="2" t="n">
        <v>-3.53014347763025</v>
      </c>
    </row>
    <row r="33" customFormat="false" ht="12.8" hidden="false" customHeight="false" outlineLevel="0" collapsed="false">
      <c r="B33" s="2" t="n">
        <v>1.0662282910754</v>
      </c>
      <c r="C33" s="2" t="n">
        <v>-1.03072288898259</v>
      </c>
      <c r="D33" s="2" t="n">
        <v>-1.00665932753174</v>
      </c>
      <c r="E33" s="2" t="n">
        <v>-1.00470691868035</v>
      </c>
      <c r="G33" s="2" t="n">
        <v>106.62282910754</v>
      </c>
    </row>
    <row r="34" customFormat="false" ht="12.8" hidden="false" customHeight="false" outlineLevel="0" collapsed="false">
      <c r="B34" s="2" t="n">
        <v>-1.10237343014286</v>
      </c>
      <c r="C34" s="2" t="n">
        <v>1.0656643949191</v>
      </c>
      <c r="D34" s="2" t="n">
        <v>1.04078507873507</v>
      </c>
      <c r="E34" s="2" t="n">
        <v>1.04876648322362</v>
      </c>
      <c r="G34" s="2" t="n">
        <v>-110.237343014286</v>
      </c>
    </row>
    <row r="37" customFormat="false" ht="12.8" hidden="false" customHeight="false" outlineLevel="0" collapsed="false">
      <c r="A37" s="18"/>
      <c r="B37" s="4"/>
      <c r="C37" s="4"/>
      <c r="D37" s="4"/>
      <c r="E37" s="4"/>
      <c r="F37" s="4"/>
      <c r="G37" s="5" t="s">
        <v>31</v>
      </c>
      <c r="H37" s="4"/>
      <c r="I37" s="4"/>
      <c r="J37" s="4"/>
    </row>
    <row r="38" customFormat="false" ht="12.8" hidden="false" customHeight="false" outlineLevel="0" collapsed="false">
      <c r="B38" s="2" t="s">
        <v>32</v>
      </c>
      <c r="C38" s="2" t="s">
        <v>15</v>
      </c>
      <c r="D38" s="2" t="s">
        <v>33</v>
      </c>
      <c r="F38" s="2" t="s">
        <v>15</v>
      </c>
    </row>
    <row r="39" customFormat="false" ht="12.8" hidden="false" customHeight="false" outlineLevel="0" collapsed="false">
      <c r="A39" s="1" t="s">
        <v>34</v>
      </c>
      <c r="B39" s="2" t="n">
        <v>100</v>
      </c>
      <c r="C39" s="10" t="n">
        <v>0.0675</v>
      </c>
      <c r="D39" s="2" t="n">
        <v>6.96</v>
      </c>
      <c r="F39" s="2" t="n">
        <f aca="false">100*0.0675</f>
        <v>6.75</v>
      </c>
    </row>
    <row r="40" customFormat="false" ht="12.8" hidden="false" customHeight="false" outlineLevel="0" collapsed="false">
      <c r="A40" s="2" t="s">
        <v>6</v>
      </c>
      <c r="B40" s="2" t="n">
        <f aca="false">F39/(1+0.0696)</f>
        <v>6.31077038145101</v>
      </c>
    </row>
    <row r="41" customFormat="false" ht="12.8" hidden="false" customHeight="false" outlineLevel="0" collapsed="false">
      <c r="A41" s="2" t="s">
        <v>8</v>
      </c>
      <c r="B41" s="2" t="n">
        <f aca="false">F39/(1+0.0696)^2</f>
        <v>5.90012189739249</v>
      </c>
    </row>
    <row r="42" customFormat="false" ht="12.8" hidden="false" customHeight="false" outlineLevel="0" collapsed="false">
      <c r="A42" s="2" t="s">
        <v>19</v>
      </c>
      <c r="B42" s="2" t="n">
        <f aca="false">(F39+B39)/(1+0.0696)^3</f>
        <v>87.2375983471354</v>
      </c>
    </row>
    <row r="44" customFormat="false" ht="12.8" hidden="false" customHeight="false" outlineLevel="0" collapsed="false">
      <c r="A44" s="1" t="s">
        <v>35</v>
      </c>
      <c r="B44" s="2" t="n">
        <f aca="false" t="array" ref="B44:B44">SUM(B40:B42)</f>
        <v>99.4484906259789</v>
      </c>
    </row>
    <row r="47" customFormat="false" ht="12.8" hidden="false" customHeight="false" outlineLevel="0" collapsed="false">
      <c r="A47" s="19"/>
      <c r="B47" s="19"/>
      <c r="C47" s="19"/>
      <c r="D47" s="19"/>
      <c r="E47" s="19"/>
      <c r="F47" s="19"/>
      <c r="G47" s="20" t="s">
        <v>36</v>
      </c>
      <c r="H47" s="19"/>
      <c r="I47" s="19"/>
    </row>
    <row r="48" customFormat="false" ht="12.8" hidden="false" customHeight="false" outlineLevel="0" collapsed="false">
      <c r="B48" s="2" t="s">
        <v>2</v>
      </c>
      <c r="C48" s="2" t="s">
        <v>15</v>
      </c>
      <c r="D48" s="2" t="s">
        <v>37</v>
      </c>
      <c r="F48" s="2" t="s">
        <v>33</v>
      </c>
      <c r="G48" s="2" t="s">
        <v>38</v>
      </c>
      <c r="H48" s="2" t="s">
        <v>15</v>
      </c>
    </row>
    <row r="49" customFormat="false" ht="12.8" hidden="false" customHeight="false" outlineLevel="0" collapsed="false">
      <c r="A49" s="2" t="s">
        <v>39</v>
      </c>
      <c r="B49" s="2" t="n">
        <v>100</v>
      </c>
      <c r="C49" s="10" t="n">
        <v>0.0675</v>
      </c>
      <c r="F49" s="10"/>
      <c r="G49" s="2" t="n">
        <v>2</v>
      </c>
      <c r="H49" s="2" t="n">
        <f aca="false">B49*C49</f>
        <v>6.75</v>
      </c>
    </row>
    <row r="50" customFormat="false" ht="12.8" hidden="false" customHeight="false" outlineLevel="0" collapsed="false">
      <c r="A50" s="2" t="s">
        <v>6</v>
      </c>
      <c r="D50" s="10" t="n">
        <v>0.03822</v>
      </c>
    </row>
    <row r="51" customFormat="false" ht="12.8" hidden="false" customHeight="false" outlineLevel="0" collapsed="false">
      <c r="A51" s="2" t="s">
        <v>8</v>
      </c>
      <c r="D51" s="10" t="n">
        <v>0.06717</v>
      </c>
    </row>
    <row r="53" customFormat="false" ht="12.8" hidden="false" customHeight="false" outlineLevel="0" collapsed="false">
      <c r="A53" s="2" t="s">
        <v>40</v>
      </c>
      <c r="B53" s="2" t="n">
        <f aca="false">SUM(H49/(1+0.0382) + (H49+B49)/(1+0.0672)^2)</f>
        <v>100.231126715294</v>
      </c>
      <c r="F53" s="10" t="n">
        <f aca="false">RATE(G49,H49,B54,B49)</f>
        <v>0.0662283363834953</v>
      </c>
    </row>
    <row r="54" customFormat="false" ht="12.8" hidden="false" customHeight="false" outlineLevel="0" collapsed="false">
      <c r="B54" s="14" t="n">
        <v>-100.2311267</v>
      </c>
    </row>
    <row r="57" customFormat="false" ht="12.8" hidden="false" customHeight="false" outlineLevel="0" collapsed="false">
      <c r="A57" s="21"/>
      <c r="B57" s="21"/>
      <c r="C57" s="21"/>
      <c r="D57" s="21"/>
      <c r="E57" s="21"/>
      <c r="F57" s="21"/>
      <c r="G57" s="22" t="s">
        <v>41</v>
      </c>
      <c r="H57" s="21"/>
      <c r="I57" s="21"/>
    </row>
    <row r="58" customFormat="false" ht="12.8" hidden="false" customHeight="false" outlineLevel="0" collapsed="false">
      <c r="D58" s="2" t="s">
        <v>42</v>
      </c>
    </row>
    <row r="59" customFormat="false" ht="12.8" hidden="false" customHeight="false" outlineLevel="0" collapsed="false">
      <c r="D59" s="2" t="s">
        <v>43</v>
      </c>
      <c r="E59" s="2" t="s">
        <v>44</v>
      </c>
      <c r="F59" s="2" t="s">
        <v>45</v>
      </c>
      <c r="H59" s="2" t="s">
        <v>46</v>
      </c>
    </row>
    <row r="60" customFormat="false" ht="12.8" hidden="false" customHeight="false" outlineLevel="0" collapsed="false">
      <c r="A60" s="2" t="s">
        <v>33</v>
      </c>
      <c r="B60" s="10" t="n">
        <v>0.0322</v>
      </c>
      <c r="D60" s="2" t="n">
        <v>1</v>
      </c>
      <c r="E60" s="2" t="n">
        <v>4.25</v>
      </c>
      <c r="F60" s="2" t="n">
        <f aca="false">E60/(1+$B$60)^D60</f>
        <v>4.11741910482465</v>
      </c>
      <c r="H60" s="2" t="n">
        <f aca="false">F60*D60</f>
        <v>4.11741910482465</v>
      </c>
      <c r="I60" s="2" t="n">
        <f aca="false">SUM(H60:H64)</f>
        <v>483.528415722293</v>
      </c>
    </row>
    <row r="61" customFormat="false" ht="12.8" hidden="false" customHeight="false" outlineLevel="0" collapsed="false">
      <c r="A61" s="2" t="s">
        <v>47</v>
      </c>
      <c r="B61" s="2" t="n">
        <v>100</v>
      </c>
      <c r="D61" s="2" t="n">
        <v>2</v>
      </c>
      <c r="E61" s="2" t="n">
        <v>4.25</v>
      </c>
      <c r="F61" s="2" t="n">
        <f aca="false">E61/(1+$B$60)^D61</f>
        <v>3.98897413759412</v>
      </c>
      <c r="H61" s="2" t="n">
        <f aca="false">F61*D61</f>
        <v>7.97794827518823</v>
      </c>
    </row>
    <row r="62" customFormat="false" ht="12.8" hidden="false" customHeight="false" outlineLevel="0" collapsed="false">
      <c r="A62" s="2" t="s">
        <v>48</v>
      </c>
      <c r="B62" s="10" t="n">
        <v>0.0425</v>
      </c>
      <c r="D62" s="2" t="n">
        <v>3</v>
      </c>
      <c r="E62" s="2" t="n">
        <v>4.25</v>
      </c>
      <c r="F62" s="2" t="n">
        <f aca="false">E62/(1+$B$60)^D62</f>
        <v>3.86453607594857</v>
      </c>
      <c r="H62" s="2" t="n">
        <f aca="false">F62*D62</f>
        <v>11.5936082278457</v>
      </c>
    </row>
    <row r="63" customFormat="false" ht="12.8" hidden="false" customHeight="false" outlineLevel="0" collapsed="false">
      <c r="D63" s="2" t="n">
        <v>4</v>
      </c>
      <c r="E63" s="2" t="n">
        <v>4.25</v>
      </c>
      <c r="F63" s="2" t="n">
        <f aca="false">E63/(1+$B$60)^D63</f>
        <v>3.74397992244582</v>
      </c>
      <c r="H63" s="2" t="n">
        <f aca="false">F63*D63</f>
        <v>14.9759196897833</v>
      </c>
    </row>
    <row r="64" customFormat="false" ht="12.8" hidden="false" customHeight="false" outlineLevel="0" collapsed="false">
      <c r="D64" s="2" t="n">
        <v>5</v>
      </c>
      <c r="E64" s="2" t="n">
        <v>104.25</v>
      </c>
      <c r="F64" s="2" t="n">
        <f aca="false">E64/(1+$B$60)^D64</f>
        <v>88.9727040849303</v>
      </c>
      <c r="H64" s="2" t="n">
        <f aca="false">F64*D64</f>
        <v>444.863520424651</v>
      </c>
    </row>
    <row r="67" customFormat="false" ht="12.8" hidden="false" customHeight="false" outlineLevel="0" collapsed="false">
      <c r="F67" s="2" t="s">
        <v>49</v>
      </c>
      <c r="G67" s="2" t="n">
        <f aca="false" t="array" ref="G67:G67">SUM(F60:F64)</f>
        <v>104.687613325743</v>
      </c>
    </row>
    <row r="69" customFormat="false" ht="12.8" hidden="false" customHeight="false" outlineLevel="0" collapsed="false">
      <c r="F69" s="2" t="s">
        <v>50</v>
      </c>
      <c r="H69" s="2" t="n">
        <f aca="false">I60/G67</f>
        <v>4.61877389656175</v>
      </c>
    </row>
    <row r="71" customFormat="false" ht="12.8" hidden="false" customHeight="false" outlineLevel="0" collapsed="false">
      <c r="F71" s="2" t="s">
        <v>51</v>
      </c>
      <c r="H71" s="2" t="n">
        <f aca="false">H69/(1+B60)</f>
        <v>4.47468891354558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5" t="s">
        <v>52</v>
      </c>
      <c r="H74" s="4"/>
      <c r="I74" s="4"/>
    </row>
    <row r="75" customFormat="false" ht="12.8" hidden="false" customHeight="false" outlineLevel="0" collapsed="false">
      <c r="A75" s="2" t="s">
        <v>33</v>
      </c>
      <c r="B75" s="10" t="n">
        <v>0.04</v>
      </c>
      <c r="D75" s="2" t="s">
        <v>42</v>
      </c>
      <c r="G75" s="2" t="s">
        <v>53</v>
      </c>
      <c r="H75" s="2" t="s">
        <v>46</v>
      </c>
      <c r="I75" s="2" t="s">
        <v>54</v>
      </c>
    </row>
    <row r="76" customFormat="false" ht="12.8" hidden="false" customHeight="false" outlineLevel="0" collapsed="false">
      <c r="A76" s="2" t="s">
        <v>47</v>
      </c>
      <c r="B76" s="2" t="n">
        <v>100</v>
      </c>
      <c r="D76" s="10" t="s">
        <v>43</v>
      </c>
      <c r="E76" s="2" t="s">
        <v>55</v>
      </c>
    </row>
    <row r="77" customFormat="false" ht="12.8" hidden="false" customHeight="false" outlineLevel="0" collapsed="false">
      <c r="A77" s="2" t="s">
        <v>15</v>
      </c>
      <c r="B77" s="2" t="n">
        <v>6.5</v>
      </c>
      <c r="D77" s="2" t="n">
        <v>1</v>
      </c>
      <c r="E77" s="2" t="n">
        <v>6.5</v>
      </c>
      <c r="G77" s="2" t="n">
        <f aca="false">E77/(1+$B$75)^D77</f>
        <v>6.25</v>
      </c>
      <c r="H77" s="2" t="n">
        <f aca="false">G77*D77</f>
        <v>6.25</v>
      </c>
      <c r="I77" s="2" t="n">
        <f aca="false">G77*D77*(D77+1)</f>
        <v>12.5</v>
      </c>
    </row>
    <row r="78" customFormat="false" ht="12.8" hidden="false" customHeight="false" outlineLevel="0" collapsed="false">
      <c r="D78" s="2" t="n">
        <v>2</v>
      </c>
      <c r="E78" s="2" t="n">
        <v>6.5</v>
      </c>
      <c r="G78" s="2" t="n">
        <f aca="false">E78/(1+$B$75)^D78</f>
        <v>6.00961538461538</v>
      </c>
      <c r="H78" s="2" t="n">
        <f aca="false">G78*D78</f>
        <v>12.0192307692308</v>
      </c>
      <c r="I78" s="2" t="n">
        <f aca="false">G78*D78*(D78+1)</f>
        <v>36.0576923076923</v>
      </c>
    </row>
    <row r="79" customFormat="false" ht="12.8" hidden="false" customHeight="false" outlineLevel="0" collapsed="false">
      <c r="D79" s="2" t="n">
        <v>3</v>
      </c>
      <c r="E79" s="2" t="n">
        <v>106.5</v>
      </c>
      <c r="G79" s="2" t="n">
        <f aca="false">E79/(1+$B$75)^D79</f>
        <v>94.6781121984524</v>
      </c>
      <c r="H79" s="2" t="n">
        <f aca="false">G79*D79</f>
        <v>284.034336595357</v>
      </c>
      <c r="I79" s="2" t="n">
        <f aca="false">G79*D79*(D79+1)</f>
        <v>1136.13734638143</v>
      </c>
    </row>
    <row r="84" customFormat="false" ht="12.8" hidden="false" customHeight="false" outlineLevel="0" collapsed="false">
      <c r="D84" s="2" t="s">
        <v>49</v>
      </c>
      <c r="E84" s="2" t="n">
        <f aca="false">SUM(G77:G79)</f>
        <v>106.937727583068</v>
      </c>
      <c r="H84" s="2" t="n">
        <f aca="false">SUM(H77:H79)</f>
        <v>302.303567364588</v>
      </c>
    </row>
    <row r="86" customFormat="false" ht="12.8" hidden="false" customHeight="false" outlineLevel="0" collapsed="false">
      <c r="D86" s="2" t="s">
        <v>56</v>
      </c>
      <c r="F86" s="2" t="n">
        <f aca="false">H84/E84</f>
        <v>2.82691220579531</v>
      </c>
    </row>
    <row r="89" customFormat="false" ht="12.8" hidden="false" customHeight="false" outlineLevel="0" collapsed="false">
      <c r="D89" s="2" t="s">
        <v>51</v>
      </c>
      <c r="F89" s="2" t="n">
        <f aca="false">F86/(1+B75)</f>
        <v>2.71818481326472</v>
      </c>
    </row>
    <row r="91" customFormat="false" ht="12.8" hidden="false" customHeight="false" outlineLevel="0" collapsed="false">
      <c r="D91" s="2" t="s">
        <v>57</v>
      </c>
      <c r="F91" s="2" t="n">
        <f aca="false">SUM(I77:I79)/(2*E84*(1+B75)^2)</f>
        <v>5.12128499130723</v>
      </c>
    </row>
    <row r="93" customFormat="false" ht="12.8" hidden="false" customHeight="false" outlineLevel="0" collapsed="false">
      <c r="A93" s="2" t="s">
        <v>58</v>
      </c>
      <c r="B93" s="10" t="n">
        <v>0.066</v>
      </c>
      <c r="D93" s="2" t="s">
        <v>59</v>
      </c>
      <c r="F93" s="2" t="n">
        <f aca="false">E77/(1+$B$93)^D77</f>
        <v>6.09756097560976</v>
      </c>
    </row>
    <row r="94" customFormat="false" ht="12.8" hidden="false" customHeight="false" outlineLevel="0" collapsed="false">
      <c r="F94" s="2" t="n">
        <f aca="false">E78/(1+$B$93)^D78</f>
        <v>5.72003843865831</v>
      </c>
    </row>
    <row r="95" customFormat="false" ht="12.8" hidden="false" customHeight="false" outlineLevel="0" collapsed="false">
      <c r="F95" s="2" t="n">
        <f aca="false">E79/(1+$B$93)^D79</f>
        <v>87.9180392144768</v>
      </c>
    </row>
    <row r="96" customFormat="false" ht="12.8" hidden="false" customHeight="false" outlineLevel="0" collapsed="false">
      <c r="D96" s="2" t="s">
        <v>59</v>
      </c>
      <c r="F96" s="23" t="n">
        <f aca="false">SUM(F93:F95)</f>
        <v>99.7356386287449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2119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2020-10-31T19:00:13Z</dcterms:created>
  <dc:creator/>
  <dc:description/>
  <dc:language>en-US</dc:language>
  <cp:lastModifiedBy/>
  <dcterms:modified xsi:type="dcterms:W3CDTF">2020-11-04T09:06:18Z</dcterms:modified>
  <cp:revision>7</cp:revision>
  <dc:subject/>
  <dc:title/>
</cp:coreProperties>
</file>